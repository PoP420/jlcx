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1e911a73c727236b/Desktop/Backup/Important Files/Ammortization Template/"/>
    </mc:Choice>
  </mc:AlternateContent>
  <xr:revisionPtr revIDLastSave="32" documentId="8_{3C132A7E-97B2-4C18-B54B-155459B10D3D}" xr6:coauthVersionLast="47" xr6:coauthVersionMax="47" xr10:uidLastSave="{22B56DB5-D5A5-46BF-A8CA-14ABCDF91423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Print_Area" localSheetId="0">Sheet1!$B$1:$P$29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8" i="1" l="1"/>
  <c r="L25" i="1"/>
  <c r="L24" i="1"/>
  <c r="I25" i="1"/>
  <c r="I24" i="1"/>
  <c r="I26" i="1"/>
  <c r="L26" i="1" s="1"/>
  <c r="I23" i="1"/>
  <c r="L23" i="1" s="1"/>
  <c r="N28" i="1"/>
  <c r="I27" i="1"/>
  <c r="L27" i="1" s="1"/>
  <c r="I22" i="1"/>
  <c r="L22" i="1" s="1"/>
  <c r="K28" i="1"/>
  <c r="E28" i="1"/>
  <c r="G28" i="1"/>
  <c r="I21" i="1" l="1"/>
  <c r="L21" i="1" s="1"/>
  <c r="I19" i="1" l="1"/>
  <c r="L19" i="1" l="1"/>
  <c r="I20" i="1"/>
  <c r="L20" i="1" s="1"/>
  <c r="I28" i="1" l="1"/>
  <c r="P28" i="1" s="1"/>
</calcChain>
</file>

<file path=xl/sharedStrings.xml><?xml version="1.0" encoding="utf-8"?>
<sst xmlns="http://schemas.openxmlformats.org/spreadsheetml/2006/main" count="30" uniqueCount="28">
  <si>
    <t>JAMO LENDING CORP.</t>
  </si>
  <si>
    <t>No.</t>
  </si>
  <si>
    <t>Date</t>
  </si>
  <si>
    <t>Principal</t>
  </si>
  <si>
    <t>Interest</t>
  </si>
  <si>
    <t>Total</t>
  </si>
  <si>
    <t>Opened</t>
  </si>
  <si>
    <t>Maturity</t>
  </si>
  <si>
    <t>Term</t>
  </si>
  <si>
    <t>Rate</t>
  </si>
  <si>
    <t xml:space="preserve">Borrower </t>
  </si>
  <si>
    <t>Address</t>
  </si>
  <si>
    <t xml:space="preserve">Loan Type </t>
  </si>
  <si>
    <t>Amount</t>
  </si>
  <si>
    <r>
      <rPr>
        <b/>
        <sz val="11"/>
        <color theme="1"/>
        <rFont val="Calibri"/>
        <family val="2"/>
        <scheme val="minor"/>
      </rPr>
      <t>Note</t>
    </r>
    <r>
      <rPr>
        <sz val="11"/>
        <color theme="1"/>
        <rFont val="Calibri"/>
        <family val="2"/>
        <scheme val="minor"/>
      </rPr>
      <t>: 6% of penalty from the payment total schedule will be given for overdue accounts or if the payor cannot meet the scheduled payment. Any clarrification or updates you may contact us: Contact no. (09120313776) ,FB Account: JAMO LENDING CORP.</t>
    </r>
  </si>
  <si>
    <t>Penalties</t>
  </si>
  <si>
    <t>Total Payable</t>
  </si>
  <si>
    <t>Statement of Account</t>
  </si>
  <si>
    <t>Payment</t>
  </si>
  <si>
    <t>Payments</t>
  </si>
  <si>
    <t>Amortization Schedule</t>
  </si>
  <si>
    <t>Remarks</t>
  </si>
  <si>
    <t>Bal:</t>
  </si>
  <si>
    <t>: Malasila, Makilala, North Cotabato</t>
  </si>
  <si>
    <t>: 5% Deminishing</t>
  </si>
  <si>
    <t>: N/A</t>
  </si>
  <si>
    <t>Purok 1B, Kisante, Makilala, North Cotabato</t>
  </si>
  <si>
    <t>: 9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</si>
</sst>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164" fontId="1" fillId="0" borderId="0" xfId="0" applyNumberFormat="1" applyFont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3" fontId="1" fillId="0" borderId="0" xfId="0" applyNumberFormat="1" applyFont="1" applyAlignment="1">
      <alignment vertical="center"/>
    </xf>
    <xf numFmtId="0" fontId="1" fillId="0" borderId="5" xfId="0" applyFont="1" applyBorder="1" applyAlignment="1">
      <alignment horizontal="center" vertical="center"/>
    </xf>
    <xf numFmtId="15" fontId="1" fillId="0" borderId="5" xfId="0" applyNumberFormat="1" applyFont="1" applyBorder="1" applyAlignment="1">
      <alignment vertical="center"/>
    </xf>
    <xf numFmtId="164" fontId="1" fillId="0" borderId="7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164" fontId="1" fillId="0" borderId="6" xfId="0" applyNumberFormat="1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64" fontId="1" fillId="0" borderId="0" xfId="0" applyNumberFormat="1" applyFont="1" applyAlignment="1">
      <alignment vertical="center"/>
    </xf>
    <xf numFmtId="15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7" fontId="1" fillId="0" borderId="5" xfId="0" applyNumberFormat="1" applyFont="1" applyBorder="1" applyAlignment="1">
      <alignment vertical="center"/>
    </xf>
    <xf numFmtId="15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1" fillId="0" borderId="6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5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97256</xdr:colOff>
      <xdr:row>0</xdr:row>
      <xdr:rowOff>95751</xdr:rowOff>
    </xdr:from>
    <xdr:to>
      <xdr:col>10</xdr:col>
      <xdr:colOff>9525</xdr:colOff>
      <xdr:row>3</xdr:row>
      <xdr:rowOff>159482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77703" y="95751"/>
          <a:ext cx="1747085" cy="635231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P29"/>
  <sheetViews>
    <sheetView tabSelected="1" view="pageBreakPreview" zoomScale="95" zoomScaleNormal="100" zoomScaleSheetLayoutView="95" workbookViewId="0">
      <selection activeCell="O23" sqref="O23"/>
    </sheetView>
  </sheetViews>
  <sheetFormatPr defaultRowHeight="14.4" x14ac:dyDescent="0.3"/>
  <cols>
    <col min="1" max="1" width="4" customWidth="1"/>
    <col min="2" max="2" width="9.6640625" customWidth="1"/>
    <col min="4" max="4" width="9.109375" customWidth="1"/>
    <col min="12" max="14" width="10.88671875" customWidth="1"/>
    <col min="16" max="16" width="9.5546875" customWidth="1"/>
  </cols>
  <sheetData>
    <row r="5" spans="2:16" x14ac:dyDescent="0.3">
      <c r="B5" s="25" t="s">
        <v>0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</row>
    <row r="6" spans="2:16" x14ac:dyDescent="0.3">
      <c r="B6" s="26" t="s">
        <v>26</v>
      </c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</row>
    <row r="7" spans="2:16" x14ac:dyDescent="0.3">
      <c r="B7" s="1"/>
    </row>
    <row r="8" spans="2:16" x14ac:dyDescent="0.3">
      <c r="B8" s="25" t="s">
        <v>17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</row>
    <row r="9" spans="2:16" x14ac:dyDescent="0.3">
      <c r="B9" s="2"/>
    </row>
    <row r="10" spans="2:16" x14ac:dyDescent="0.3">
      <c r="B10" s="3" t="s">
        <v>10</v>
      </c>
      <c r="C10" s="28"/>
      <c r="D10" s="28"/>
      <c r="E10" s="28"/>
      <c r="F10" s="28"/>
      <c r="G10" s="28"/>
      <c r="H10" s="28"/>
      <c r="J10" s="3"/>
      <c r="K10" s="3"/>
      <c r="L10" s="3" t="s">
        <v>6</v>
      </c>
      <c r="M10" s="3"/>
      <c r="N10" s="3"/>
      <c r="O10" s="28"/>
      <c r="P10" s="28"/>
    </row>
    <row r="11" spans="2:16" x14ac:dyDescent="0.3">
      <c r="B11" s="3" t="s">
        <v>11</v>
      </c>
      <c r="C11" s="28" t="s">
        <v>23</v>
      </c>
      <c r="D11" s="28"/>
      <c r="E11" s="28"/>
      <c r="F11" s="28"/>
      <c r="G11" s="28"/>
      <c r="H11" s="28"/>
      <c r="J11" s="3"/>
      <c r="K11" s="3"/>
      <c r="L11" s="3" t="s">
        <v>7</v>
      </c>
      <c r="M11" s="3"/>
      <c r="N11" s="3"/>
      <c r="O11" s="28"/>
      <c r="P11" s="28"/>
    </row>
    <row r="12" spans="2:16" x14ac:dyDescent="0.3">
      <c r="B12" s="3" t="s">
        <v>13</v>
      </c>
      <c r="C12" s="28">
        <v>100000</v>
      </c>
      <c r="D12" s="28"/>
      <c r="E12" s="28"/>
      <c r="F12" s="28"/>
      <c r="G12" s="28"/>
      <c r="H12" s="28"/>
      <c r="J12" s="3"/>
      <c r="K12" s="3"/>
      <c r="L12" s="3" t="s">
        <v>8</v>
      </c>
      <c r="M12" s="3"/>
      <c r="N12" s="3"/>
      <c r="O12" s="28" t="s">
        <v>27</v>
      </c>
      <c r="P12" s="28"/>
    </row>
    <row r="13" spans="2:16" x14ac:dyDescent="0.3">
      <c r="B13" s="3" t="s">
        <v>12</v>
      </c>
      <c r="C13" s="28" t="s">
        <v>24</v>
      </c>
      <c r="D13" s="28"/>
      <c r="E13" s="28"/>
      <c r="F13" s="28"/>
      <c r="G13" s="28"/>
      <c r="H13" s="28"/>
      <c r="J13" s="3"/>
      <c r="K13" s="3"/>
      <c r="L13" s="3" t="s">
        <v>9</v>
      </c>
      <c r="M13" s="3"/>
      <c r="N13" s="3"/>
      <c r="O13" s="28" t="s">
        <v>25</v>
      </c>
      <c r="P13" s="28"/>
    </row>
    <row r="14" spans="2:16" x14ac:dyDescent="0.3">
      <c r="B14" s="3"/>
    </row>
    <row r="15" spans="2:16" x14ac:dyDescent="0.3">
      <c r="B15" s="3"/>
    </row>
    <row r="16" spans="2:16" ht="15" thickBot="1" x14ac:dyDescent="0.35">
      <c r="B16" s="3"/>
    </row>
    <row r="17" spans="1:16" x14ac:dyDescent="0.3">
      <c r="B17" s="11"/>
      <c r="C17" s="34" t="s">
        <v>20</v>
      </c>
      <c r="D17" s="34"/>
      <c r="E17" s="34"/>
      <c r="F17" s="34"/>
      <c r="G17" s="34"/>
      <c r="H17" s="34"/>
      <c r="I17" s="34"/>
      <c r="J17" s="34"/>
      <c r="K17" s="34"/>
      <c r="L17" s="35"/>
      <c r="M17" s="33" t="s">
        <v>19</v>
      </c>
      <c r="N17" s="34"/>
      <c r="O17" s="34"/>
      <c r="P17" s="35"/>
    </row>
    <row r="18" spans="1:16" x14ac:dyDescent="0.3">
      <c r="A18" s="4"/>
      <c r="B18" s="8" t="s">
        <v>1</v>
      </c>
      <c r="C18" s="23" t="s">
        <v>2</v>
      </c>
      <c r="D18" s="23"/>
      <c r="E18" s="25" t="s">
        <v>3</v>
      </c>
      <c r="F18" s="25"/>
      <c r="G18" s="25" t="s">
        <v>4</v>
      </c>
      <c r="H18" s="25"/>
      <c r="I18" s="25" t="s">
        <v>16</v>
      </c>
      <c r="J18" s="25"/>
      <c r="K18" s="2" t="s">
        <v>15</v>
      </c>
      <c r="L18" s="12" t="s">
        <v>5</v>
      </c>
      <c r="M18" s="8" t="s">
        <v>2</v>
      </c>
      <c r="N18" s="2" t="s">
        <v>18</v>
      </c>
      <c r="O18" s="36" t="s">
        <v>21</v>
      </c>
      <c r="P18" s="37"/>
    </row>
    <row r="19" spans="1:16" x14ac:dyDescent="0.3">
      <c r="B19" s="13">
        <v>1</v>
      </c>
      <c r="C19" s="22"/>
      <c r="D19" s="23"/>
      <c r="E19" s="24">
        <v>11111</v>
      </c>
      <c r="F19" s="24"/>
      <c r="G19" s="24">
        <v>5000</v>
      </c>
      <c r="H19" s="24"/>
      <c r="I19" s="24">
        <f t="shared" ref="I19" si="0">E19+G19</f>
        <v>16111</v>
      </c>
      <c r="J19" s="24"/>
      <c r="K19" s="5"/>
      <c r="L19" s="14">
        <f t="shared" ref="L19:L28" si="1">I19+K19</f>
        <v>16111</v>
      </c>
      <c r="M19" s="21"/>
      <c r="N19" s="7"/>
      <c r="O19" s="25"/>
      <c r="P19" s="29"/>
    </row>
    <row r="20" spans="1:16" ht="16.5" customHeight="1" x14ac:dyDescent="0.3">
      <c r="B20" s="13">
        <v>2</v>
      </c>
      <c r="C20" s="22"/>
      <c r="D20" s="23"/>
      <c r="E20" s="24">
        <v>11111</v>
      </c>
      <c r="F20" s="24"/>
      <c r="G20" s="24">
        <v>4445</v>
      </c>
      <c r="H20" s="24"/>
      <c r="I20" s="24">
        <f t="shared" ref="I20" si="2">E20+G20</f>
        <v>15556</v>
      </c>
      <c r="J20" s="24"/>
      <c r="K20" s="5"/>
      <c r="L20" s="14">
        <f t="shared" si="1"/>
        <v>15556</v>
      </c>
      <c r="M20" s="9"/>
      <c r="N20" s="7"/>
      <c r="O20" s="25"/>
      <c r="P20" s="29"/>
    </row>
    <row r="21" spans="1:16" x14ac:dyDescent="0.3">
      <c r="B21" s="13">
        <v>3</v>
      </c>
      <c r="C21" s="22"/>
      <c r="D21" s="23"/>
      <c r="E21" s="24">
        <v>11111</v>
      </c>
      <c r="F21" s="24"/>
      <c r="G21" s="24">
        <v>3889</v>
      </c>
      <c r="H21" s="24"/>
      <c r="I21" s="24">
        <f t="shared" ref="I21" si="3">E21+G21</f>
        <v>15000</v>
      </c>
      <c r="J21" s="24"/>
      <c r="K21" s="5"/>
      <c r="L21" s="14">
        <f t="shared" si="1"/>
        <v>15000</v>
      </c>
      <c r="M21" s="9"/>
      <c r="N21" s="7"/>
      <c r="O21" s="25"/>
      <c r="P21" s="29"/>
    </row>
    <row r="22" spans="1:16" x14ac:dyDescent="0.3">
      <c r="B22" s="13">
        <v>4</v>
      </c>
      <c r="C22" s="22"/>
      <c r="D22" s="23"/>
      <c r="E22" s="24">
        <v>11111</v>
      </c>
      <c r="F22" s="24"/>
      <c r="G22" s="24">
        <v>3333</v>
      </c>
      <c r="H22" s="24"/>
      <c r="I22" s="24">
        <f t="shared" ref="I22:I27" si="4">E22+G22</f>
        <v>14444</v>
      </c>
      <c r="J22" s="24"/>
      <c r="K22" s="5"/>
      <c r="L22" s="14">
        <f t="shared" si="1"/>
        <v>14444</v>
      </c>
      <c r="M22" s="9"/>
      <c r="N22" s="7"/>
      <c r="O22" s="25"/>
      <c r="P22" s="29"/>
    </row>
    <row r="23" spans="1:16" x14ac:dyDescent="0.3">
      <c r="B23" s="13">
        <v>5</v>
      </c>
      <c r="C23" s="22"/>
      <c r="D23" s="23"/>
      <c r="E23" s="24">
        <v>11111</v>
      </c>
      <c r="F23" s="24"/>
      <c r="G23" s="24">
        <v>2779</v>
      </c>
      <c r="H23" s="24"/>
      <c r="I23" s="24">
        <f t="shared" ref="I23:I26" si="5">E23+G23</f>
        <v>13890</v>
      </c>
      <c r="J23" s="24"/>
      <c r="K23" s="5"/>
      <c r="L23" s="14">
        <f t="shared" si="1"/>
        <v>13890</v>
      </c>
      <c r="M23" s="9"/>
      <c r="N23" s="7"/>
      <c r="O23" s="2"/>
      <c r="P23" s="12"/>
    </row>
    <row r="24" spans="1:16" x14ac:dyDescent="0.3">
      <c r="B24" s="13">
        <v>6</v>
      </c>
      <c r="C24" s="19"/>
      <c r="D24" s="20"/>
      <c r="E24" s="24">
        <v>11111</v>
      </c>
      <c r="F24" s="24"/>
      <c r="G24" s="24">
        <v>2222</v>
      </c>
      <c r="H24" s="24"/>
      <c r="I24" s="24">
        <f t="shared" ref="I24:I25" si="6">E24+G24</f>
        <v>13333</v>
      </c>
      <c r="J24" s="24"/>
      <c r="K24" s="5"/>
      <c r="L24" s="14">
        <f t="shared" si="1"/>
        <v>13333</v>
      </c>
      <c r="M24" s="9"/>
      <c r="N24" s="7"/>
      <c r="O24" s="2"/>
      <c r="P24" s="12"/>
    </row>
    <row r="25" spans="1:16" x14ac:dyDescent="0.3">
      <c r="B25" s="13">
        <v>7</v>
      </c>
      <c r="C25" s="19"/>
      <c r="D25" s="20"/>
      <c r="E25" s="24">
        <v>11111</v>
      </c>
      <c r="F25" s="24"/>
      <c r="G25" s="24">
        <v>1667</v>
      </c>
      <c r="H25" s="24"/>
      <c r="I25" s="24">
        <f t="shared" si="6"/>
        <v>12778</v>
      </c>
      <c r="J25" s="24"/>
      <c r="K25" s="5"/>
      <c r="L25" s="14">
        <f t="shared" si="1"/>
        <v>12778</v>
      </c>
      <c r="M25" s="9"/>
      <c r="N25" s="7"/>
      <c r="O25" s="2"/>
      <c r="P25" s="12"/>
    </row>
    <row r="26" spans="1:16" x14ac:dyDescent="0.3">
      <c r="B26" s="13">
        <v>8</v>
      </c>
      <c r="C26" s="22"/>
      <c r="D26" s="23"/>
      <c r="E26" s="24">
        <v>11111</v>
      </c>
      <c r="F26" s="24"/>
      <c r="G26" s="24">
        <v>1111</v>
      </c>
      <c r="H26" s="24"/>
      <c r="I26" s="24">
        <f t="shared" si="5"/>
        <v>12222</v>
      </c>
      <c r="J26" s="24"/>
      <c r="K26" s="5"/>
      <c r="L26" s="14">
        <f t="shared" si="1"/>
        <v>12222</v>
      </c>
      <c r="M26" s="9"/>
      <c r="N26" s="7"/>
      <c r="O26" s="2"/>
      <c r="P26" s="12"/>
    </row>
    <row r="27" spans="1:16" ht="15" thickBot="1" x14ac:dyDescent="0.35">
      <c r="B27" s="13">
        <v>9</v>
      </c>
      <c r="C27" s="31"/>
      <c r="D27" s="32"/>
      <c r="E27" s="30">
        <v>11111</v>
      </c>
      <c r="F27" s="30"/>
      <c r="G27" s="30">
        <v>556</v>
      </c>
      <c r="H27" s="30"/>
      <c r="I27" s="30">
        <f t="shared" si="4"/>
        <v>11667</v>
      </c>
      <c r="J27" s="30"/>
      <c r="K27" s="6"/>
      <c r="L27" s="15">
        <f t="shared" si="1"/>
        <v>11667</v>
      </c>
      <c r="M27" s="10"/>
      <c r="N27" s="6"/>
      <c r="O27" s="16"/>
      <c r="P27" s="17"/>
    </row>
    <row r="28" spans="1:16" x14ac:dyDescent="0.3">
      <c r="C28" s="23"/>
      <c r="D28" s="23"/>
      <c r="E28" s="24">
        <f>SUM(E19:F27)</f>
        <v>99999</v>
      </c>
      <c r="F28" s="24"/>
      <c r="G28" s="24">
        <f>SUM(G19:H27)</f>
        <v>25002</v>
      </c>
      <c r="H28" s="24"/>
      <c r="I28" s="24">
        <f>SUM(I19:J27)</f>
        <v>125001</v>
      </c>
      <c r="J28" s="24"/>
      <c r="K28" s="5">
        <f>SUM(K19:K27)</f>
        <v>0</v>
      </c>
      <c r="L28" s="5">
        <f>I28+K28</f>
        <v>125001</v>
      </c>
      <c r="M28" s="5" t="s">
        <v>5</v>
      </c>
      <c r="N28" s="5">
        <f>SUM(N19:N22)</f>
        <v>0</v>
      </c>
      <c r="O28" s="3" t="s">
        <v>22</v>
      </c>
      <c r="P28" s="18">
        <f>L28-SUM(N19:N22)</f>
        <v>125001</v>
      </c>
    </row>
    <row r="29" spans="1:16" ht="43.5" customHeight="1" x14ac:dyDescent="0.3">
      <c r="B29" s="27" t="s">
        <v>14</v>
      </c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</row>
  </sheetData>
  <mergeCells count="61">
    <mergeCell ref="C22:D22"/>
    <mergeCell ref="C27:D27"/>
    <mergeCell ref="E22:F22"/>
    <mergeCell ref="E27:F27"/>
    <mergeCell ref="O13:P13"/>
    <mergeCell ref="M17:P17"/>
    <mergeCell ref="C17:L17"/>
    <mergeCell ref="C21:D21"/>
    <mergeCell ref="E21:F21"/>
    <mergeCell ref="G21:H21"/>
    <mergeCell ref="I21:J21"/>
    <mergeCell ref="O18:P18"/>
    <mergeCell ref="O19:P19"/>
    <mergeCell ref="O20:P20"/>
    <mergeCell ref="O21:P21"/>
    <mergeCell ref="G22:H22"/>
    <mergeCell ref="C10:H10"/>
    <mergeCell ref="C11:H11"/>
    <mergeCell ref="C12:H12"/>
    <mergeCell ref="O10:P10"/>
    <mergeCell ref="O11:P11"/>
    <mergeCell ref="O12:P12"/>
    <mergeCell ref="G27:H27"/>
    <mergeCell ref="I22:J22"/>
    <mergeCell ref="I27:J27"/>
    <mergeCell ref="G18:H18"/>
    <mergeCell ref="G19:H19"/>
    <mergeCell ref="G20:H20"/>
    <mergeCell ref="I18:J18"/>
    <mergeCell ref="I19:J19"/>
    <mergeCell ref="I20:J20"/>
    <mergeCell ref="I23:J23"/>
    <mergeCell ref="I26:J26"/>
    <mergeCell ref="G24:H24"/>
    <mergeCell ref="G25:H25"/>
    <mergeCell ref="I24:J24"/>
    <mergeCell ref="I25:J25"/>
    <mergeCell ref="E28:F28"/>
    <mergeCell ref="B5:P5"/>
    <mergeCell ref="B6:P6"/>
    <mergeCell ref="B8:P8"/>
    <mergeCell ref="B29:P29"/>
    <mergeCell ref="E18:F18"/>
    <mergeCell ref="E19:F19"/>
    <mergeCell ref="E20:F20"/>
    <mergeCell ref="C13:H13"/>
    <mergeCell ref="C18:D18"/>
    <mergeCell ref="C19:D19"/>
    <mergeCell ref="C20:D20"/>
    <mergeCell ref="C28:D28"/>
    <mergeCell ref="G28:H28"/>
    <mergeCell ref="O22:P22"/>
    <mergeCell ref="I28:J28"/>
    <mergeCell ref="C23:D23"/>
    <mergeCell ref="C26:D26"/>
    <mergeCell ref="E23:F23"/>
    <mergeCell ref="E26:F26"/>
    <mergeCell ref="G23:H23"/>
    <mergeCell ref="G26:H26"/>
    <mergeCell ref="E24:F24"/>
    <mergeCell ref="E25:F25"/>
  </mergeCells>
  <pageMargins left="0.7" right="0.7" top="0.75" bottom="0.75" header="0.3" footer="0.3"/>
  <pageSetup scale="85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JLCorp. Motorshop</dc:creator>
  <cp:lastModifiedBy>Jayson Adtoon</cp:lastModifiedBy>
  <cp:lastPrinted>2025-11-03T06:30:57Z</cp:lastPrinted>
  <dcterms:created xsi:type="dcterms:W3CDTF">2023-06-15T05:23:19Z</dcterms:created>
  <dcterms:modified xsi:type="dcterms:W3CDTF">2025-11-07T07:28:43Z</dcterms:modified>
</cp:coreProperties>
</file>